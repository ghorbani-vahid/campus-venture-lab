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e0a051f27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" sheetId="1" r:id="R2ce9a88106d3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sz val="10"/>
      <x:color rgb="FF65746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D36"/>
      </x:patternFill>
    </x:fill>
    <x:fill>
      <x:patternFill patternType="solid">
        <x:fgColor rgb="FFFFF0C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f09dfd1544fa0" /><Relationship Type="http://schemas.openxmlformats.org/officeDocument/2006/relationships/theme" Target="/xl/theme/theme1.xml" Id="R4603e97a85da40ca" /><Relationship Type="http://schemas.openxmlformats.org/officeDocument/2006/relationships/sharedStrings" Target="/xl/sharedStrings.xml" Id="R6e2a00557eab49f2" /><Relationship Type="http://schemas.openxmlformats.org/officeDocument/2006/relationships/worksheet" Target="/xl/worksheets/sheet1.xml" Id="R2ce9a88106d345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18" hidden="0" customWidth="1"/>
  </x:cols>
  <x:sheetData>
    <x:row r="2" ht="23" customHeight="1">
      <x:c r="A2" s="2" t="str">
        <x:v>Campus Venture Lab</x:v>
      </x:c>
      <x:c r="B2" s="1"/>
      <x:c r="C2" s="1"/>
      <x:c r="D2" s="1"/>
      <x:c r="E2" s="1"/>
    </x:row>
    <x:row r="3" ht="23" customHeight="1">
      <x:c r="A3" s="3" t="str">
        <x:v>Original illustrative model. Amounts in AUD thousands.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23" customHeight="1">
      <x:c r="A5" s="1" t="str">
        <x:v>Round funding</x:v>
      </x:c>
      <x:c r="B5" s="6" t="n">
        <x:v>40</x:v>
      </x:c>
      <x:c r="C5" s="1"/>
      <x:c r="D5" s="5" t="str">
        <x:v>Score weights</x:v>
      </x:c>
      <x:c r="E5" s="5"/>
    </x:row>
    <x:row r="6" ht="23" customHeight="1">
      <x:c r="A6" s="1" t="str">
        <x:v>Revenue per user (AUD)</x:v>
      </x:c>
      <x:c r="B6" s="6" t="n">
        <x:v>120</x:v>
      </x:c>
      <x:c r="C6" s="1"/>
      <x:c r="D6" s="1" t="str">
        <x:v>Reliability</x:v>
      </x:c>
      <x:c r="E6" s="6" t="n">
        <x:v>30</x:v>
      </x:c>
    </x:row>
    <x:row r="7" ht="23" customHeight="1">
      <x:c r="A7" s="1" t="str">
        <x:v>Market capacity (users)</x:v>
      </x:c>
      <x:c r="B7" s="6" t="n">
        <x:v>1000</x:v>
      </x:c>
      <x:c r="C7" s="1"/>
      <x:c r="D7" s="1" t="str">
        <x:v>Adoption</x:v>
      </x:c>
      <x:c r="E7" s="6" t="n">
        <x:v>30</x:v>
      </x:c>
    </x:row>
    <x:row r="8" ht="23" customHeight="1">
      <x:c r="A8" s="1"/>
      <x:c r="B8" s="1"/>
      <x:c r="C8" s="1"/>
      <x:c r="D8" s="1" t="str">
        <x:v>Cost recovery</x:v>
      </x:c>
      <x:c r="E8" s="6" t="n">
        <x:v>40</x:v>
      </x:c>
    </x:row>
    <x:row r="9" ht="23" customHeight="1">
      <x:c r="A9" s="1"/>
      <x:c r="B9" s="1"/>
      <x:c r="C9" s="1"/>
      <x:c r="D9" s="1" t="str">
        <x:v>Weight total</x:v>
      </x:c>
      <x:c r="E9" s="1" t="n">
        <x:f>SUM(E6:E8)</x:f>
        <x:v>100</x:v>
      </x:c>
    </x:row>
    <x:row r="10" ht="23" customHeight="1">
      <x:c r="A10" s="1"/>
      <x:c r="B10" s="1"/>
      <x:c r="C10" s="1"/>
      <x:c r="D10" s="1"/>
      <x:c r="E10" s="1"/>
    </x:row>
    <x:row r="11" ht="23" customHeight="1">
      <x:c r="A11" s="5" t="str">
        <x:v>Decision inputs</x:v>
      </x:c>
      <x:c r="B11" s="5" t="str">
        <x:v>Concept</x:v>
      </x:c>
      <x:c r="C11" s="5" t="str">
        <x:v>Prototype</x:v>
      </x:c>
      <x:c r="D11" s="5" t="str">
        <x:v>Campus pilot</x:v>
      </x:c>
      <x:c r="E11" s="1"/>
    </x:row>
    <x:row r="12" ht="23" customHeight="1">
      <x:c r="A12" s="1" t="str">
        <x:v>Customer discovery</x:v>
      </x:c>
      <x:c r="B12" s="7" t="n">
        <x:v>10</x:v>
      </x:c>
      <x:c r="C12" s="7" t="n">
        <x:v>10</x:v>
      </x:c>
      <x:c r="D12" s="7" t="n">
        <x:v>10</x:v>
      </x:c>
      <x:c r="E12" s="1"/>
    </x:row>
    <x:row r="13" ht="23" customHeight="1">
      <x:c r="A13" s="1" t="str">
        <x:v>Product development</x:v>
      </x:c>
      <x:c r="B13" s="7" t="n">
        <x:v>12</x:v>
      </x:c>
      <x:c r="C13" s="7" t="n">
        <x:v>12</x:v>
      </x:c>
      <x:c r="D13" s="7" t="n">
        <x:v>12</x:v>
      </x:c>
      <x:c r="E13" s="1"/>
    </x:row>
    <x:row r="14" ht="23" customHeight="1">
      <x:c r="A14" s="1" t="str">
        <x:v>Verification and testing</x:v>
      </x:c>
      <x:c r="B14" s="7" t="n">
        <x:v>12</x:v>
      </x:c>
      <x:c r="C14" s="7" t="n">
        <x:v>12</x:v>
      </x:c>
      <x:c r="D14" s="7" t="n">
        <x:v>12</x:v>
      </x:c>
      <x:c r="E14" s="1"/>
    </x:row>
    <x:row r="15" ht="23" customHeight="1">
      <x:c r="A15" s="1" t="str">
        <x:v>Launch and promotion</x:v>
      </x:c>
      <x:c r="B15" s="7" t="n">
        <x:v>6</x:v>
      </x:c>
      <x:c r="C15" s="7" t="n">
        <x:v>6</x:v>
      </x:c>
      <x:c r="D15" s="7" t="n">
        <x:v>6</x:v>
      </x:c>
      <x:c r="E15" s="1"/>
    </x:row>
    <x:row r="16" ht="23" customHeight="1">
      <x:c r="A16" s="1" t="str">
        <x:v>Stage factor</x:v>
      </x:c>
      <x:c r="B16" s="6" t="n">
        <x:v>0</x:v>
      </x:c>
      <x:c r="C16" s="6" t="n">
        <x:v>0.4</x:v>
      </x:c>
      <x:c r="D16" s="6" t="n">
        <x:v>1</x:v>
      </x:c>
      <x:c r="E16" s="1"/>
    </x:row>
    <x:row r="17" ht="23" customHeight="1">
      <x:c r="A17" s="1"/>
      <x:c r="B17" s="1"/>
      <x:c r="C17" s="1"/>
      <x:c r="D17" s="1"/>
      <x:c r="E17" s="1"/>
    </x:row>
    <x:row r="18" ht="23" customHeight="1">
      <x:c r="A18" s="5" t="str">
        <x:v>Calculated outputs</x:v>
      </x:c>
      <x:c r="B18" s="5"/>
      <x:c r="C18" s="5"/>
      <x:c r="D18" s="5"/>
      <x:c r="E18" s="1"/>
    </x:row>
    <x:row r="19" ht="23" customHeight="1">
      <x:c r="A19" s="1" t="str">
        <x:v>Reliability</x:v>
      </x:c>
      <x:c r="B19" s="8" t="n">
        <x:f>MIN(100,20+B13*1.2+B14*1.6)</x:f>
        <x:v>53.6</x:v>
      </x:c>
      <x:c r="C19" s="8" t="n">
        <x:f>MIN(100,B19+C13*1.2+C14*1.6)</x:f>
        <x:v>87.2</x:v>
      </x:c>
      <x:c r="D19" s="8" t="n">
        <x:f>MIN(100,C19+D13*1.2+D14*1.6)</x:f>
        <x:v>100</x:v>
      </x:c>
      <x:c r="E19" s="1"/>
    </x:row>
    <x:row r="20" ht="23" customHeight="1">
      <x:c r="A20" s="1" t="str">
        <x:v>Adoption potential</x:v>
      </x:c>
      <x:c r="B20" s="8" t="n">
        <x:f>MIN(100,10+B12*1.5+B15*1.1)</x:f>
        <x:v>31.6</x:v>
      </x:c>
      <x:c r="C20" s="8" t="n">
        <x:f>MIN(100,B20+C12*1.5+C15*1.1)</x:f>
        <x:v>53.2</x:v>
      </x:c>
      <x:c r="D20" s="8" t="n">
        <x:f>MIN(100,C20+D12*1.5+D15*1.1)</x:f>
        <x:v>74.8</x:v>
      </x:c>
      <x:c r="E20" s="1"/>
    </x:row>
    <x:row r="21" ht="23" customHeight="1">
      <x:c r="A21" s="1" t="str">
        <x:v>Round users</x:v>
      </x:c>
      <x:c r="B21" s="9" t="n">
        <x:f>ROUND($B$7*B20/100*B19/100*B16,0)</x:f>
        <x:v>0</x:v>
      </x:c>
      <x:c r="C21" s="9" t="n">
        <x:f>ROUND($B$7*C20/100*C19/100*C16,0)</x:f>
        <x:v>186</x:v>
      </x:c>
      <x:c r="D21" s="9" t="n">
        <x:f>ROUND($B$7*D20/100*D19/100*D16,0)</x:f>
        <x:v>748</x:v>
      </x:c>
      <x:c r="E21" s="1"/>
    </x:row>
    <x:row r="22" ht="23" customHeight="1">
      <x:c r="A22" s="1" t="str">
        <x:v>Round revenue</x:v>
      </x:c>
      <x:c r="B22" s="8" t="n">
        <x:f>B21*$B$6/1000</x:f>
        <x:v>0</x:v>
      </x:c>
      <x:c r="C22" s="8" t="n">
        <x:f>C21*$B$6/1000</x:f>
        <x:v>22.32</x:v>
      </x:c>
      <x:c r="D22" s="8" t="n">
        <x:f>D21*$B$6/1000</x:f>
        <x:v>89.76</x:v>
      </x:c>
      <x:c r="E22" s="1"/>
    </x:row>
    <x:row r="23" ht="23" customHeight="1">
      <x:c r="A23" s="1" t="str">
        <x:v>Cumulative investment</x:v>
      </x:c>
      <x:c r="B23" s="8" t="n">
        <x:f>SUM(B12:B15)</x:f>
        <x:v>40</x:v>
      </x:c>
      <x:c r="C23" s="8" t="n">
        <x:f>B23+SUM(C12:C15)</x:f>
        <x:v>80</x:v>
      </x:c>
      <x:c r="D23" s="8" t="n">
        <x:f>C23+SUM(D12:D15)</x:f>
        <x:v>120</x:v>
      </x:c>
      <x:c r="E23" s="1"/>
    </x:row>
    <x:row r="24" ht="23" customHeight="1">
      <x:c r="A24" s="1" t="str">
        <x:v>Cumulative revenue</x:v>
      </x:c>
      <x:c r="B24" s="8" t="n">
        <x:f>B22</x:f>
        <x:v>0</x:v>
      </x:c>
      <x:c r="C24" s="8" t="n">
        <x:f>B24+C22</x:f>
        <x:v>22.32</x:v>
      </x:c>
      <x:c r="D24" s="8" t="n">
        <x:f>C24+D22</x:f>
        <x:v>112.08000000000001</x:v>
      </x:c>
      <x:c r="E24" s="1"/>
    </x:row>
    <x:row r="25" ht="23" customHeight="1">
      <x:c r="A25" s="1" t="str">
        <x:v>Closing cash</x:v>
      </x:c>
      <x:c r="B25" s="8" t="n">
        <x:f>$B$5-SUM(B12:B15)+B22</x:f>
        <x:v>0</x:v>
      </x:c>
      <x:c r="C25" s="8" t="n">
        <x:f>B25+$B$5-SUM(C12:C15)+C22</x:f>
        <x:v>22.32</x:v>
      </x:c>
      <x:c r="D25" s="8" t="n">
        <x:f>C25+$B$5-SUM(D12:D15)+D22</x:f>
        <x:v>112.08000000000001</x:v>
      </x:c>
      <x:c r="E25" s="1"/>
    </x:row>
    <x:row r="26" ht="23" customHeight="1">
      <x:c r="A26" s="1" t="str">
        <x:v>Cost recovery score</x:v>
      </x:c>
      <x:c r="B26" s="8" t="n">
        <x:f>IF(B23=0,0,MIN(100,MAX(0,100*B24/B23)))</x:f>
        <x:v>0</x:v>
      </x:c>
      <x:c r="C26" s="8" t="n">
        <x:f>IF(C23=0,0,MIN(100,MAX(0,100*C24/C23)))</x:f>
        <x:v>27.9</x:v>
      </x:c>
      <x:c r="D26" s="8" t="n">
        <x:f>IF(D23=0,0,MIN(100,MAX(0,100*D24/D23)))</x:f>
        <x:v>93.40000000000002</x:v>
      </x:c>
      <x:c r="E26" s="1"/>
    </x:row>
    <x:row r="27" ht="23" customHeight="1">
      <x:c r="A27" s="1" t="str">
        <x:v>Simulation score</x:v>
      </x:c>
      <x:c r="B27" s="8" t="n">
        <x:f>(B19*$E$6+B20*$E$7+B26*$E$8)/$E$9</x:f>
        <x:v>25.56</x:v>
      </x:c>
      <x:c r="C27" s="8" t="n">
        <x:f>(C19*$E$6+C20*$E$7+C26*$E$8)/$E$9</x:f>
        <x:v>53.28</x:v>
      </x:c>
      <x:c r="D27" s="8" t="n">
        <x:f>(D19*$E$6+D20*$E$7+D26*$E$8)/$E$9</x:f>
        <x:v>89.8</x:v>
      </x:c>
      <x:c r="E27" s="1"/>
    </x:row>
    <x:row r="28" ht="23" customHeight="1">
      <x:c r="A28" s="1" t="str">
        <x:v>Budget remaining</x:v>
      </x:c>
      <x:c r="B28" s="8" t="n">
        <x:f>$B$5-SUM(B12:B15)</x:f>
        <x:v>0</x:v>
      </x:c>
      <x:c r="C28" s="8" t="n">
        <x:f>$B$5-SUM(C12:C15)</x:f>
        <x:v>0</x:v>
      </x:c>
      <x:c r="D28" s="8" t="n">
        <x:f>$B$5-SUM(D12:D15)</x:f>
        <x:v>0</x:v>
      </x:c>
      <x:c r="E28" s="1"/>
    </x:row>
    <x:row r="29" ht="23" customHeight="1">
      <x:c r="A29" s="1" t="str">
        <x:v>Budget status</x:v>
      </x:c>
      <x:c r="B29" s="1" t="str">
        <x:f>IF(B28&lt;0,"Over budget","Within budget")</x:f>
        <x:v>Within budget</x:v>
      </x:c>
      <x:c r="C29" s="1" t="str">
        <x:f>IF(C28&lt;0,"Over budget","Within budget")</x:f>
        <x:v>Within budget</x:v>
      </x:c>
      <x:c r="D29" s="1" t="str">
        <x:f>IF(D28&lt;0,"Over budget","Within budget")</x:f>
        <x:v>Within budget</x:v>
      </x:c>
      <x:c r="E29" s="1"/>
    </x:row>
    <x:row r="30" ht="23" customHeight="1">
      <x:c r="A30" s="1"/>
      <x:c r="B30" s="1"/>
      <x:c r="C30" s="1"/>
      <x:c r="D30" s="1"/>
      <x:c r="E30" s="1"/>
    </x:row>
    <x:row r="31" ht="23" customHeight="1">
      <x:c r="A31" s="1" t="str">
        <x:v>Activity goal: justify investments using demand, reliability and viability.</x:v>
      </x:c>
      <x:c r="B31" s="1"/>
      <x:c r="C31" s="1"/>
      <x:c r="D31" s="1"/>
      <x:c r="E31" s="1"/>
    </x:row>
    <x:row r="32" ht="23" customHeight="1">
      <x:c r="A32" s="1" t="str">
        <x:v>Scores provide formative feedback; educators review the decision rationale.</x:v>
      </x:c>
      <x:c r="B32" s="1"/>
      <x:c r="C32" s="1"/>
      <x:c r="D32" s="1"/>
      <x:c r="E32" s="1"/>
    </x:row>
    <x:row r="33" ht="23" customHeight="1">
      <x:c r="A33" s="1" t="str">
        <x:v>Edit amber cells. Concept produces no revenue; later gates simulate trials.</x:v>
      </x:c>
      <x:c r="B33" s="1"/>
      <x:c r="C33" s="1"/>
      <x:c r="D33" s="1"/>
      <x:c r="E33" s="1"/>
    </x:row>
  </x:sheetData>
  <x:pageMargins left="0.7" right="0.7" top="0.75" bottom="0.75" header="0.3" footer="0.3"/>
</x:worksheet>
</file>